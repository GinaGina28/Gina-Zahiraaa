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db237c215db968/Dokumen/SISTEM/"/>
    </mc:Choice>
  </mc:AlternateContent>
  <xr:revisionPtr revIDLastSave="0" documentId="8_{C24B1F98-3457-4FAA-B4E4-F8E59F954C63}" xr6:coauthVersionLast="47" xr6:coauthVersionMax="47" xr10:uidLastSave="{00000000-0000-0000-0000-000000000000}"/>
  <bookViews>
    <workbookView xWindow="-110" yWindow="-110" windowWidth="19420" windowHeight="10300" xr2:uid="{380477A7-8BC2-427D-8CB0-B8A8F3823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6" i="1" l="1"/>
  <c r="H38" i="1"/>
  <c r="H30" i="1"/>
  <c r="H22" i="1"/>
  <c r="H15" i="1"/>
  <c r="H7" i="1"/>
  <c r="J11" i="1"/>
  <c r="J16" i="1"/>
  <c r="G46" i="1"/>
  <c r="F45" i="1"/>
  <c r="F46" i="1" s="1"/>
  <c r="E45" i="1"/>
  <c r="E46" i="1" s="1"/>
  <c r="D45" i="1"/>
  <c r="D46" i="1" s="1"/>
  <c r="C45" i="1"/>
  <c r="C46" i="1" s="1"/>
  <c r="B45" i="1"/>
  <c r="J13" i="1"/>
  <c r="G38" i="1"/>
  <c r="F37" i="1"/>
  <c r="F38" i="1" s="1"/>
  <c r="E37" i="1"/>
  <c r="E38" i="1" s="1"/>
  <c r="D37" i="1"/>
  <c r="D38" i="1" s="1"/>
  <c r="C37" i="1"/>
  <c r="C38" i="1" s="1"/>
  <c r="B37" i="1"/>
  <c r="G30" i="1"/>
  <c r="C30" i="1"/>
  <c r="C29" i="1"/>
  <c r="J15" i="1"/>
  <c r="F29" i="1"/>
  <c r="F30" i="1" s="1"/>
  <c r="E29" i="1"/>
  <c r="E30" i="1" s="1"/>
  <c r="D29" i="1"/>
  <c r="D30" i="1" s="1"/>
  <c r="B29" i="1"/>
  <c r="J14" i="1"/>
  <c r="G22" i="1"/>
  <c r="C22" i="1"/>
  <c r="F21" i="1"/>
  <c r="F22" i="1" s="1"/>
  <c r="E21" i="1"/>
  <c r="E22" i="1" s="1"/>
  <c r="D21" i="1"/>
  <c r="D22" i="1" s="1"/>
  <c r="C21" i="1"/>
  <c r="B21" i="1"/>
  <c r="D15" i="1"/>
  <c r="C15" i="1"/>
  <c r="B15" i="1"/>
  <c r="F14" i="1"/>
  <c r="F15" i="1" s="1"/>
  <c r="G15" i="1" s="1"/>
  <c r="E14" i="1"/>
  <c r="E15" i="1" s="1"/>
  <c r="D14" i="1"/>
  <c r="C14" i="1"/>
  <c r="B14" i="1"/>
  <c r="J12" i="1"/>
  <c r="G7" i="1"/>
  <c r="G5" i="1"/>
  <c r="G4" i="1"/>
  <c r="D7" i="1"/>
  <c r="C7" i="1"/>
  <c r="E7" i="1"/>
  <c r="F7" i="1"/>
  <c r="B7" i="1"/>
</calcChain>
</file>

<file path=xl/sharedStrings.xml><?xml version="1.0" encoding="utf-8"?>
<sst xmlns="http://schemas.openxmlformats.org/spreadsheetml/2006/main" count="59" uniqueCount="21">
  <si>
    <t>Performance</t>
  </si>
  <si>
    <t>Penilaian</t>
  </si>
  <si>
    <t>N (3)</t>
  </si>
  <si>
    <t>Pertanyaan 1</t>
  </si>
  <si>
    <t>Pertanyaan 2</t>
  </si>
  <si>
    <t>Information</t>
  </si>
  <si>
    <t>STS(1)</t>
  </si>
  <si>
    <t>TS (2)</t>
  </si>
  <si>
    <t>S (4)</t>
  </si>
  <si>
    <t>SS (5)</t>
  </si>
  <si>
    <t>Economy</t>
  </si>
  <si>
    <t>STS (1)</t>
  </si>
  <si>
    <t xml:space="preserve">TS (2) </t>
  </si>
  <si>
    <t>Control</t>
  </si>
  <si>
    <t>Efficiency</t>
  </si>
  <si>
    <t>Service</t>
  </si>
  <si>
    <t>sangat tidak setuju </t>
  </si>
  <si>
    <t>tidak setuju </t>
  </si>
  <si>
    <t xml:space="preserve"> netral </t>
  </si>
  <si>
    <t xml:space="preserve"> setuju</t>
  </si>
  <si>
    <t xml:space="preserve"> sangat setuju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</si>
</sst>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Tingkat Kepuasan Berbasis Pieces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>
                <a:alpha val="69804"/>
              </a:schemeClr>
            </a:solidFill>
            <a:ln w="9525" cap="flat" cmpd="sng" algn="ctr">
              <a:solidFill>
                <a:schemeClr val="accent1">
                  <a:alpha val="69804"/>
                </a:schemeClr>
              </a:solidFill>
              <a:miter lim="800000"/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val>
            <c:numRef>
              <c:f>Sheet1!$J$11:$J$16</c:f>
              <c:numCache>
                <c:formatCode>General</c:formatCode>
                <c:ptCount val="6"/>
                <c:pt idx="0">
                  <c:v>2.85</c:v>
                </c:pt>
                <c:pt idx="1">
                  <c:v>1.95</c:v>
                </c:pt>
                <c:pt idx="2">
                  <c:v>3.45</c:v>
                </c:pt>
                <c:pt idx="3">
                  <c:v>3.4</c:v>
                </c:pt>
                <c:pt idx="4">
                  <c:v>3.5</c:v>
                </c:pt>
                <c:pt idx="5">
                  <c:v>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D-49B5-A032-2C8A1820C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341231"/>
        <c:axId val="1849338831"/>
      </c:radarChart>
      <c:catAx>
        <c:axId val="184934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49338831"/>
        <c:crosses val="autoZero"/>
        <c:auto val="1"/>
        <c:lblAlgn val="ctr"/>
        <c:lblOffset val="100"/>
        <c:noMultiLvlLbl val="0"/>
      </c:catAx>
      <c:valAx>
        <c:axId val="184933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4934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9</xdr:row>
      <xdr:rowOff>0</xdr:rowOff>
    </xdr:from>
    <xdr:to>
      <xdr:col>17</xdr:col>
      <xdr:colOff>117475</xdr:colOff>
      <xdr:row>22</xdr:row>
      <xdr:rowOff>184150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B5446B6-01AD-E568-3F4E-C520F39EE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2AAC-BF83-4E54-975A-46CE2566BEC7}">
  <dimension ref="A2:O46"/>
  <sheetViews>
    <sheetView tabSelected="1" topLeftCell="B1" workbookViewId="0">
      <selection activeCell="H47" sqref="H47"/>
    </sheetView>
  </sheetViews>
  <sheetFormatPr defaultRowHeight="15.5" x14ac:dyDescent="0.35"/>
  <cols>
    <col min="1" max="1" width="20.6328125" style="5" customWidth="1"/>
    <col min="2" max="3" width="8.7265625" style="5"/>
    <col min="4" max="4" width="18.453125" style="5" customWidth="1"/>
    <col min="5" max="5" width="13.36328125" style="5" customWidth="1"/>
    <col min="6" max="14" width="8.7265625" style="5"/>
    <col min="15" max="15" width="20.54296875" style="5" customWidth="1"/>
    <col min="16" max="16384" width="8.7265625" style="5"/>
  </cols>
  <sheetData>
    <row r="2" spans="1:15" x14ac:dyDescent="0.35">
      <c r="A2" s="4" t="s">
        <v>0</v>
      </c>
    </row>
    <row r="3" spans="1:15" x14ac:dyDescent="0.35">
      <c r="A3" s="1" t="s">
        <v>1</v>
      </c>
      <c r="B3" s="1" t="s">
        <v>6</v>
      </c>
      <c r="C3" s="1" t="s">
        <v>7</v>
      </c>
      <c r="D3" s="1" t="s">
        <v>2</v>
      </c>
      <c r="E3" s="1" t="s">
        <v>8</v>
      </c>
      <c r="F3" s="1" t="s">
        <v>9</v>
      </c>
      <c r="M3" s="1">
        <v>1</v>
      </c>
      <c r="N3" s="1">
        <v>1.8</v>
      </c>
      <c r="O3" s="2" t="s">
        <v>16</v>
      </c>
    </row>
    <row r="4" spans="1:15" x14ac:dyDescent="0.35">
      <c r="A4" s="1" t="s">
        <v>3</v>
      </c>
      <c r="B4" s="1">
        <v>5</v>
      </c>
      <c r="C4" s="1">
        <v>3</v>
      </c>
      <c r="D4" s="1">
        <v>2</v>
      </c>
      <c r="E4" s="1">
        <v>0</v>
      </c>
      <c r="F4" s="1">
        <v>0</v>
      </c>
      <c r="G4" s="5">
        <f>SUM(B4:F4)</f>
        <v>10</v>
      </c>
      <c r="M4" s="1">
        <v>1.81</v>
      </c>
      <c r="N4" s="1">
        <v>2.6</v>
      </c>
      <c r="O4" s="3" t="s">
        <v>17</v>
      </c>
    </row>
    <row r="5" spans="1:15" x14ac:dyDescent="0.35">
      <c r="A5" s="1" t="s">
        <v>4</v>
      </c>
      <c r="B5" s="1">
        <v>1</v>
      </c>
      <c r="C5" s="1">
        <v>6</v>
      </c>
      <c r="D5" s="1">
        <v>3</v>
      </c>
      <c r="E5" s="1">
        <v>0</v>
      </c>
      <c r="F5" s="1">
        <v>0</v>
      </c>
      <c r="G5" s="5">
        <f>SUM(B5:F5)</f>
        <v>10</v>
      </c>
      <c r="M5" s="1">
        <v>2.61</v>
      </c>
      <c r="N5" s="1">
        <v>3.4</v>
      </c>
      <c r="O5" s="3" t="s">
        <v>18</v>
      </c>
    </row>
    <row r="6" spans="1:15" x14ac:dyDescent="0.35">
      <c r="A6" s="1"/>
      <c r="B6" s="1">
        <v>6</v>
      </c>
      <c r="C6" s="1">
        <v>9</v>
      </c>
      <c r="D6" s="1">
        <v>5</v>
      </c>
      <c r="E6" s="1">
        <v>0</v>
      </c>
      <c r="F6" s="1">
        <v>0</v>
      </c>
      <c r="M6" s="1">
        <v>3.41</v>
      </c>
      <c r="N6" s="1">
        <v>4.2</v>
      </c>
      <c r="O6" s="3" t="s">
        <v>19</v>
      </c>
    </row>
    <row r="7" spans="1:15" x14ac:dyDescent="0.35">
      <c r="A7" s="1"/>
      <c r="B7" s="1">
        <f>B6*1</f>
        <v>6</v>
      </c>
      <c r="C7" s="1">
        <f>C6*2</f>
        <v>18</v>
      </c>
      <c r="D7" s="1">
        <f>D6*3</f>
        <v>15</v>
      </c>
      <c r="E7" s="1">
        <f t="shared" ref="C7:F7" si="0">E6*1</f>
        <v>0</v>
      </c>
      <c r="F7" s="1">
        <f t="shared" si="0"/>
        <v>0</v>
      </c>
      <c r="G7" s="5">
        <f>SUM(B7:F7)</f>
        <v>39</v>
      </c>
      <c r="H7" s="5">
        <f>G7/20</f>
        <v>1.95</v>
      </c>
      <c r="M7" s="1">
        <v>4.21</v>
      </c>
      <c r="N7" s="1">
        <v>5</v>
      </c>
      <c r="O7" s="3" t="s">
        <v>20</v>
      </c>
    </row>
    <row r="9" spans="1:15" x14ac:dyDescent="0.35">
      <c r="M9" s="2"/>
    </row>
    <row r="10" spans="1:15" x14ac:dyDescent="0.35">
      <c r="A10" s="4" t="s">
        <v>5</v>
      </c>
    </row>
    <row r="11" spans="1:15" x14ac:dyDescent="0.35">
      <c r="A11" s="1" t="s">
        <v>1</v>
      </c>
      <c r="B11" s="1" t="s">
        <v>6</v>
      </c>
      <c r="C11" s="1" t="s">
        <v>7</v>
      </c>
      <c r="D11" s="1" t="s">
        <v>2</v>
      </c>
      <c r="E11" s="1" t="s">
        <v>8</v>
      </c>
      <c r="F11" s="1" t="s">
        <v>9</v>
      </c>
      <c r="J11" s="5">
        <f>G15/20</f>
        <v>2.85</v>
      </c>
    </row>
    <row r="12" spans="1:15" x14ac:dyDescent="0.35">
      <c r="A12" s="1" t="s">
        <v>3</v>
      </c>
      <c r="B12" s="1">
        <v>2</v>
      </c>
      <c r="C12" s="1">
        <v>1</v>
      </c>
      <c r="D12" s="1">
        <v>4</v>
      </c>
      <c r="E12" s="1">
        <v>2</v>
      </c>
      <c r="F12" s="1">
        <v>1</v>
      </c>
      <c r="G12" s="6">
        <v>10</v>
      </c>
      <c r="J12" s="5">
        <f>G7/20</f>
        <v>1.95</v>
      </c>
      <c r="M12" s="3"/>
    </row>
    <row r="13" spans="1:15" x14ac:dyDescent="0.35">
      <c r="A13" s="1" t="s">
        <v>4</v>
      </c>
      <c r="B13" s="1">
        <v>2</v>
      </c>
      <c r="C13" s="1">
        <v>1</v>
      </c>
      <c r="D13" s="1">
        <v>4</v>
      </c>
      <c r="E13" s="1">
        <v>3</v>
      </c>
      <c r="F13" s="1">
        <v>0</v>
      </c>
      <c r="G13" s="6">
        <v>10</v>
      </c>
      <c r="J13" s="5">
        <f>G38/20</f>
        <v>3.45</v>
      </c>
      <c r="M13" s="3"/>
    </row>
    <row r="14" spans="1:15" x14ac:dyDescent="0.35">
      <c r="A14" s="1"/>
      <c r="B14" s="1">
        <f t="shared" ref="B14:C14" si="1">B12+B13</f>
        <v>4</v>
      </c>
      <c r="C14" s="1">
        <f t="shared" si="1"/>
        <v>2</v>
      </c>
      <c r="D14" s="1">
        <f>D12+D13</f>
        <v>8</v>
      </c>
      <c r="E14" s="1">
        <f t="shared" ref="E14:F14" si="2">E12+E13</f>
        <v>5</v>
      </c>
      <c r="F14" s="1">
        <f t="shared" si="2"/>
        <v>1</v>
      </c>
      <c r="J14" s="5">
        <f>G22/20</f>
        <v>3.4</v>
      </c>
    </row>
    <row r="15" spans="1:15" x14ac:dyDescent="0.35">
      <c r="A15" s="1"/>
      <c r="B15" s="1">
        <f>B14*1</f>
        <v>4</v>
      </c>
      <c r="C15" s="1">
        <f>C14*2</f>
        <v>4</v>
      </c>
      <c r="D15" s="1">
        <f>D14*3</f>
        <v>24</v>
      </c>
      <c r="E15" s="1">
        <f>E14*4</f>
        <v>20</v>
      </c>
      <c r="F15" s="1">
        <f>F14*5</f>
        <v>5</v>
      </c>
      <c r="G15" s="5">
        <f>SUM(B15:F15)</f>
        <v>57</v>
      </c>
      <c r="H15" s="5">
        <f>G15/20</f>
        <v>2.85</v>
      </c>
      <c r="J15" s="5">
        <f>G30/20</f>
        <v>3.5</v>
      </c>
    </row>
    <row r="16" spans="1:15" x14ac:dyDescent="0.35">
      <c r="J16" s="5">
        <f>G46/20</f>
        <v>3.15</v>
      </c>
    </row>
    <row r="17" spans="1:8" x14ac:dyDescent="0.35">
      <c r="A17" s="4" t="s">
        <v>10</v>
      </c>
    </row>
    <row r="18" spans="1:8" x14ac:dyDescent="0.35">
      <c r="A18" s="1" t="s">
        <v>1</v>
      </c>
      <c r="B18" s="1" t="s">
        <v>11</v>
      </c>
      <c r="C18" s="1" t="s">
        <v>12</v>
      </c>
      <c r="D18" s="1" t="s">
        <v>2</v>
      </c>
      <c r="E18" s="1" t="s">
        <v>8</v>
      </c>
      <c r="F18" s="1" t="s">
        <v>9</v>
      </c>
    </row>
    <row r="19" spans="1:8" x14ac:dyDescent="0.35">
      <c r="A19" s="1" t="s">
        <v>3</v>
      </c>
      <c r="B19" s="1">
        <v>0</v>
      </c>
      <c r="C19" s="1">
        <v>0</v>
      </c>
      <c r="D19" s="1">
        <v>6</v>
      </c>
      <c r="E19" s="1">
        <v>4</v>
      </c>
      <c r="F19" s="1">
        <v>0</v>
      </c>
      <c r="G19" s="6">
        <v>10</v>
      </c>
    </row>
    <row r="20" spans="1:8" x14ac:dyDescent="0.35">
      <c r="A20" s="1" t="s">
        <v>4</v>
      </c>
      <c r="B20" s="1">
        <v>0</v>
      </c>
      <c r="C20" s="1">
        <v>1</v>
      </c>
      <c r="D20" s="1">
        <v>5</v>
      </c>
      <c r="E20" s="1">
        <v>3</v>
      </c>
      <c r="F20" s="1">
        <v>1</v>
      </c>
      <c r="G20" s="6">
        <v>10</v>
      </c>
    </row>
    <row r="21" spans="1:8" x14ac:dyDescent="0.35">
      <c r="A21" s="1"/>
      <c r="B21" s="1">
        <f t="shared" ref="B21:E21" si="3">B19+B20</f>
        <v>0</v>
      </c>
      <c r="C21" s="1">
        <f t="shared" si="3"/>
        <v>1</v>
      </c>
      <c r="D21" s="1">
        <f t="shared" si="3"/>
        <v>11</v>
      </c>
      <c r="E21" s="1">
        <f t="shared" si="3"/>
        <v>7</v>
      </c>
      <c r="F21" s="1">
        <f>F19+F20</f>
        <v>1</v>
      </c>
    </row>
    <row r="22" spans="1:8" x14ac:dyDescent="0.35">
      <c r="A22" s="1"/>
      <c r="B22" s="1">
        <v>0</v>
      </c>
      <c r="C22" s="1">
        <f>C21*2</f>
        <v>2</v>
      </c>
      <c r="D22" s="1">
        <f>D21*3</f>
        <v>33</v>
      </c>
      <c r="E22" s="1">
        <f>E21*4</f>
        <v>28</v>
      </c>
      <c r="F22" s="1">
        <f>F21*5</f>
        <v>5</v>
      </c>
      <c r="G22" s="5">
        <f>SUM(C22:F22)</f>
        <v>68</v>
      </c>
      <c r="H22" s="5">
        <f>G22/20</f>
        <v>3.4</v>
      </c>
    </row>
    <row r="25" spans="1:8" x14ac:dyDescent="0.35">
      <c r="A25" s="4" t="s">
        <v>13</v>
      </c>
    </row>
    <row r="26" spans="1:8" x14ac:dyDescent="0.35">
      <c r="A26" s="1" t="s">
        <v>1</v>
      </c>
      <c r="B26" s="1" t="s">
        <v>11</v>
      </c>
      <c r="C26" s="1" t="s">
        <v>12</v>
      </c>
      <c r="D26" s="1" t="s">
        <v>2</v>
      </c>
      <c r="E26" s="1" t="s">
        <v>8</v>
      </c>
      <c r="F26" s="1" t="s">
        <v>9</v>
      </c>
    </row>
    <row r="27" spans="1:8" x14ac:dyDescent="0.35">
      <c r="A27" s="1" t="s">
        <v>3</v>
      </c>
      <c r="B27" s="1">
        <v>0</v>
      </c>
      <c r="C27" s="1">
        <v>2</v>
      </c>
      <c r="D27" s="1">
        <v>2</v>
      </c>
      <c r="E27" s="1">
        <v>4</v>
      </c>
      <c r="F27" s="1">
        <v>2</v>
      </c>
      <c r="G27" s="6">
        <v>10</v>
      </c>
    </row>
    <row r="28" spans="1:8" x14ac:dyDescent="0.35">
      <c r="A28" s="1" t="s">
        <v>4</v>
      </c>
      <c r="B28" s="1">
        <v>0</v>
      </c>
      <c r="C28" s="1">
        <v>1</v>
      </c>
      <c r="D28" s="1">
        <v>4</v>
      </c>
      <c r="E28" s="1">
        <v>5</v>
      </c>
      <c r="F28" s="1">
        <v>0</v>
      </c>
      <c r="G28" s="6">
        <v>10</v>
      </c>
    </row>
    <row r="29" spans="1:8" x14ac:dyDescent="0.35">
      <c r="A29" s="1"/>
      <c r="B29" s="1">
        <f t="shared" ref="B29:C29" si="4">B27+B28</f>
        <v>0</v>
      </c>
      <c r="C29" s="1">
        <f>C27+C28</f>
        <v>3</v>
      </c>
      <c r="D29" s="1">
        <f>D27+D28</f>
        <v>6</v>
      </c>
      <c r="E29" s="1">
        <f t="shared" ref="E29:F29" si="5">E27+E28</f>
        <v>9</v>
      </c>
      <c r="F29" s="1">
        <f t="shared" si="5"/>
        <v>2</v>
      </c>
    </row>
    <row r="30" spans="1:8" x14ac:dyDescent="0.35">
      <c r="A30" s="1"/>
      <c r="B30" s="1"/>
      <c r="C30" s="1">
        <f>C29*2</f>
        <v>6</v>
      </c>
      <c r="D30" s="1">
        <f>D29*3</f>
        <v>18</v>
      </c>
      <c r="E30" s="1">
        <f>E29*4</f>
        <v>36</v>
      </c>
      <c r="F30" s="1">
        <f>F29*5</f>
        <v>10</v>
      </c>
      <c r="G30" s="5">
        <f>SUM(C30:F30)</f>
        <v>70</v>
      </c>
      <c r="H30" s="5">
        <f>G30/20</f>
        <v>3.5</v>
      </c>
    </row>
    <row r="33" spans="1:8" x14ac:dyDescent="0.35">
      <c r="A33" s="4" t="s">
        <v>14</v>
      </c>
    </row>
    <row r="34" spans="1:8" x14ac:dyDescent="0.35">
      <c r="A34" s="1" t="s">
        <v>1</v>
      </c>
      <c r="B34" s="1" t="s">
        <v>11</v>
      </c>
      <c r="C34" s="1" t="s">
        <v>12</v>
      </c>
      <c r="D34" s="1" t="s">
        <v>2</v>
      </c>
      <c r="E34" s="1" t="s">
        <v>8</v>
      </c>
      <c r="F34" s="1" t="s">
        <v>9</v>
      </c>
    </row>
    <row r="35" spans="1:8" x14ac:dyDescent="0.35">
      <c r="A35" s="1" t="s">
        <v>3</v>
      </c>
      <c r="B35" s="1">
        <v>0</v>
      </c>
      <c r="C35" s="1">
        <v>3</v>
      </c>
      <c r="D35" s="1">
        <v>1</v>
      </c>
      <c r="E35" s="1">
        <v>6</v>
      </c>
      <c r="F35" s="1">
        <v>0</v>
      </c>
      <c r="G35" s="6">
        <v>10</v>
      </c>
    </row>
    <row r="36" spans="1:8" x14ac:dyDescent="0.35">
      <c r="A36" s="1" t="s">
        <v>4</v>
      </c>
      <c r="B36" s="1">
        <v>0</v>
      </c>
      <c r="C36" s="1">
        <v>1</v>
      </c>
      <c r="D36" s="1">
        <v>4</v>
      </c>
      <c r="E36" s="1">
        <v>3</v>
      </c>
      <c r="F36" s="1">
        <v>2</v>
      </c>
      <c r="G36" s="6">
        <v>10</v>
      </c>
    </row>
    <row r="37" spans="1:8" x14ac:dyDescent="0.35">
      <c r="A37" s="1"/>
      <c r="B37" s="1">
        <f t="shared" ref="B37:C37" si="6">B35+B36</f>
        <v>0</v>
      </c>
      <c r="C37" s="1">
        <f>C35+C36</f>
        <v>4</v>
      </c>
      <c r="D37" s="1">
        <f>D35+D36</f>
        <v>5</v>
      </c>
      <c r="E37" s="1">
        <f t="shared" ref="E37:F37" si="7">E35+E36</f>
        <v>9</v>
      </c>
      <c r="F37" s="1">
        <f t="shared" si="7"/>
        <v>2</v>
      </c>
    </row>
    <row r="38" spans="1:8" x14ac:dyDescent="0.35">
      <c r="A38" s="1"/>
      <c r="B38" s="1"/>
      <c r="C38" s="1">
        <f>C37*2</f>
        <v>8</v>
      </c>
      <c r="D38" s="1">
        <f>D37*3</f>
        <v>15</v>
      </c>
      <c r="E38" s="1">
        <f>E37*4</f>
        <v>36</v>
      </c>
      <c r="F38" s="1">
        <f>F37*5</f>
        <v>10</v>
      </c>
      <c r="G38" s="5">
        <f>SUM(C38:F38)</f>
        <v>69</v>
      </c>
      <c r="H38" s="5">
        <f>G38/20</f>
        <v>3.45</v>
      </c>
    </row>
    <row r="41" spans="1:8" x14ac:dyDescent="0.35">
      <c r="A41" s="4" t="s">
        <v>15</v>
      </c>
    </row>
    <row r="42" spans="1:8" x14ac:dyDescent="0.35">
      <c r="A42" s="1" t="s">
        <v>1</v>
      </c>
      <c r="B42" s="1" t="s">
        <v>11</v>
      </c>
      <c r="C42" s="1" t="s">
        <v>12</v>
      </c>
      <c r="D42" s="1" t="s">
        <v>2</v>
      </c>
      <c r="E42" s="1" t="s">
        <v>8</v>
      </c>
      <c r="F42" s="1" t="s">
        <v>9</v>
      </c>
    </row>
    <row r="43" spans="1:8" x14ac:dyDescent="0.35">
      <c r="A43" s="1" t="s">
        <v>3</v>
      </c>
      <c r="B43" s="1">
        <v>0</v>
      </c>
      <c r="C43" s="1">
        <v>3</v>
      </c>
      <c r="D43" s="1">
        <v>5</v>
      </c>
      <c r="E43" s="1">
        <v>2</v>
      </c>
      <c r="F43" s="1">
        <v>0</v>
      </c>
      <c r="G43" s="6">
        <v>10</v>
      </c>
    </row>
    <row r="44" spans="1:8" x14ac:dyDescent="0.35">
      <c r="A44" s="1" t="s">
        <v>4</v>
      </c>
      <c r="B44" s="1">
        <v>0</v>
      </c>
      <c r="C44" s="1">
        <v>1</v>
      </c>
      <c r="D44" s="1">
        <v>5</v>
      </c>
      <c r="E44" s="1">
        <v>3</v>
      </c>
      <c r="F44" s="1">
        <v>1</v>
      </c>
      <c r="G44" s="6">
        <v>10</v>
      </c>
    </row>
    <row r="45" spans="1:8" x14ac:dyDescent="0.35">
      <c r="A45" s="1"/>
      <c r="B45" s="1">
        <f t="shared" ref="B45:C45" si="8">B43+B44</f>
        <v>0</v>
      </c>
      <c r="C45" s="1">
        <f>C43+C44</f>
        <v>4</v>
      </c>
      <c r="D45" s="1">
        <f>D43+D44</f>
        <v>10</v>
      </c>
      <c r="E45" s="1">
        <f t="shared" ref="E45:F45" si="9">E43+E44</f>
        <v>5</v>
      </c>
      <c r="F45" s="1">
        <f t="shared" si="9"/>
        <v>1</v>
      </c>
    </row>
    <row r="46" spans="1:8" x14ac:dyDescent="0.35">
      <c r="A46" s="1"/>
      <c r="B46" s="1"/>
      <c r="C46" s="1">
        <f>C45*2</f>
        <v>8</v>
      </c>
      <c r="D46" s="1">
        <f>D45*3</f>
        <v>30</v>
      </c>
      <c r="E46" s="1">
        <f>E45*4</f>
        <v>20</v>
      </c>
      <c r="F46" s="1">
        <f>F45*5</f>
        <v>5</v>
      </c>
      <c r="G46" s="5">
        <f>SUM(C46:F46)</f>
        <v>63</v>
      </c>
      <c r="H46" s="5">
        <f>G46/20</f>
        <v>3.15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ktb</dc:creator>
  <cp:lastModifiedBy>asus ktb</cp:lastModifiedBy>
  <dcterms:created xsi:type="dcterms:W3CDTF">2026-05-10T04:48:09Z</dcterms:created>
  <dcterms:modified xsi:type="dcterms:W3CDTF">2026-05-10T06:04:38Z</dcterms:modified>
</cp:coreProperties>
</file>